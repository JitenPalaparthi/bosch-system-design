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c22d54ab2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00207daa4c33451a"/>
    <x:sheet xmlns:r="http://schemas.openxmlformats.org/officeDocument/2006/relationships" name="Sizing_Model" sheetId="2" r:id="R4c0f6986f42142a5"/>
    <x:sheet xmlns:r="http://schemas.openxmlformats.org/officeDocument/2006/relationships" name="Recommendations" sheetId="3" r:id="R37a03b0d7d17485d"/>
    <x:sheet xmlns:r="http://schemas.openxmlformats.org/officeDocument/2006/relationships" name="Explanation" sheetId="4" r:id="R5b75fcac0269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166" formatCode="#,##0.0"/>
  </x:numFmts>
  <x:fonts count="7">
    <x:font>
      <x:sz val="11"/>
      <x:color theme="1"/>
      <x:name val="Calibri"/>
      <x:family val="2"/>
      <x:scheme val="minor"/>
    </x:font>
    <x:font>
      <x:b/>
    </x:font>
    <x:font>
      <x:b/>
      <x:sz val="12"/>
      <x:color rgb="00FFFFFF"/>
    </x:font>
    <x:font>
      <x:color rgb="000000FF"/>
    </x:font>
    <x:font>
      <x:color rgb="00666666"/>
    </x:font>
    <x:font>
      <x:b/>
      <x:sz val="14"/>
    </x:font>
    <x:font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1F4E78"/>
      </x:patternFill>
    </x:fill>
    <x:fill>
      <x:patternFill patternType="solid">
        <x:fgColor rgb="00FFF2CC"/>
      </x:patternFill>
    </x:fill>
  </x:fills>
  <x:borders count="3">
    <x:border>
      <x:left/>
      <x:right/>
      <x:top/>
      <x:bottom/>
      <x:diagonal/>
    </x:border>
    <x:border>
      <x:bottom style="thin">
        <x:color rgb="00A6A6A6"/>
      </x:bottom>
    </x:border>
    <x:border>
      <x:left/>
      <x:right/>
      <x:top/>
      <x:bottom style="thin">
        <x:color rgb="00A6A6A6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center"/>
    </x:xf>
    <x:xf numFmtId="0" fontId="2" fillId="3" borderId="1" xfId="0" applyAlignment="1">
      <x:alignment horizontal="left"/>
    </x:xf>
    <x:xf numFmtId="0" fontId="0" fillId="0" borderId="1" xfId="0"/>
    <x:xf numFmtId="0" fontId="0" fillId="0" borderId="0" xfId="0" applyAlignment="1">
      <x:alignment horizontal="left"/>
    </x:xf>
    <x:xf numFmtId="3" fontId="3" fillId="0" borderId="0" xfId="0" applyAlignment="1">
      <x:alignment horizontal="right"/>
    </x:xf>
    <x:xf numFmtId="0" fontId="4" fillId="0" borderId="0" xfId="0"/>
    <x:xf numFmtId="164" fontId="3" fillId="0" borderId="0" xfId="0" applyAlignment="1">
      <x:alignment horizontal="right"/>
    </x:xf>
    <x:xf numFmtId="165" fontId="3" fillId="0" borderId="0" xfId="0" applyAlignment="1">
      <x:alignment horizontal="right"/>
    </x:xf>
    <x:xf numFmtId="0" fontId="2" fillId="3" borderId="0" xfId="0"/>
    <x:xf numFmtId="166" fontId="6" fillId="0" borderId="0" xfId="0"/>
    <x:xf numFmtId="0" fontId="1" fillId="2" borderId="0" xfId="0"/>
    <x:xf numFmtId="166" fontId="1" fillId="0" borderId="0" xfId="0"/>
    <x:xf numFmtId="3" fontId="0" fillId="4" borderId="0" xfId="0"/>
    <x:xf numFmtId="0" fontId="1" fillId="0" borderId="0" xfId="0"/>
    <x:xf numFmtId="0" fontId="5" fillId="0" borderId="0" xfId="0"/>
    <x:xf numFmtId="0" fontId="0" fillId="0" borderId="0" xfId="0" applyAlignment="1">
      <x:alignment vertical="top" wrapText="1"/>
    </x:xf>
    <x:xf numFmtId="0" fontId="0" fillId="0" borderId="2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b72dfb6944c19" /><Relationship Type="http://schemas.openxmlformats.org/officeDocument/2006/relationships/theme" Target="/xl/theme/theme1.xml" Id="R99a8a05ce7f5476b" /><Relationship Type="http://schemas.openxmlformats.org/officeDocument/2006/relationships/sharedStrings" Target="/xl/sharedStrings.xml" Id="R09d7eaa128e04170" /><Relationship Type="http://schemas.openxmlformats.org/officeDocument/2006/relationships/worksheet" Target="/xl/worksheets/sheet1.xml" Id="R00207daa4c33451a" /><Relationship Type="http://schemas.openxmlformats.org/officeDocument/2006/relationships/worksheet" Target="/xl/worksheets/sheet2.xml" Id="R4c0f6986f42142a5" /><Relationship Type="http://schemas.openxmlformats.org/officeDocument/2006/relationships/worksheet" Target="/xl/worksheets/sheet3.xml" Id="R37a03b0d7d17485d" /><Relationship Type="http://schemas.openxmlformats.org/officeDocument/2006/relationships/worksheet" Target="/xl/worksheets/sheet4.xml" Id="R5b75fcac026946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da078c84f04508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Rounded capacity recommendation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'Recommendations'!D1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'Recommendations'!$A$2:$A$6</c:f>
              <c:strCache>
                <c:ptCount val="0"/>
              </c:strCache>
            </c:strRef>
          </c:cat>
          <c:val>
            <c:numRef>
              <c:f>'Recommendations'!$D$2:$D$6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Area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Capacity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da078c84f045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75a58e677fa410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5" customWidth="1"/>
    <x:col min="2" max="2" width="12" customWidth="1"/>
    <x:col min="3" max="3" width="16" customWidth="1"/>
    <x:col min="4" max="4" width="40" customWidth="1"/>
  </x:cols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  <x:c r="C1" s="1" t="inlineStr">
        <x:is>
          <x:t xml:space="preserve">Unit</x:t>
        </x:is>
      </x:c>
      <x:c r="D1" s="1" t="inlineStr">
        <x:is>
          <x:t xml:space="preserve">Notes / Formula meaning</x:t>
        </x:is>
      </x:c>
    </x:row>
    <x:row r="2">
      <x:c r="A2" s="2" t="inlineStr">
        <x:is>
          <x:t xml:space="preserve">Business Traffic Assumptions</x:t>
        </x:is>
      </x:c>
      <x:c r="B2" s="17" t="n"/>
      <x:c r="C2" s="17" t="n"/>
      <x:c r="D2" s="17" t="n"/>
    </x:row>
    <x:row r="3">
      <x:c r="A3" s="4" t="inlineStr">
        <x:is>
          <x:t xml:space="preserve">Daily orders</x:t>
        </x:is>
      </x:c>
      <x:c r="B3" s="5" t="n">
        <x:v>10000</x:v>
      </x:c>
      <x:c r="C3" s="6" t="inlineStr">
        <x:is>
          <x:t xml:space="preserve">orders/day</x:t>
        </x:is>
      </x:c>
      <x:c r="D3" t="inlineStr">
        <x:is>
          <x:t xml:space="preserve">Baseline production size for a basic e-commerce app</x:t>
        </x:is>
      </x:c>
    </x:row>
    <x:row r="4">
      <x:c r="A4" s="4" t="inlineStr">
        <x:is>
          <x:t xml:space="preserve">Avg items per order</x:t>
        </x:is>
      </x:c>
      <x:c r="B4" s="7" t="n">
        <x:v>2.5</x:v>
      </x:c>
      <x:c r="C4" s="6" t="inlineStr">
        <x:is>
          <x:t xml:space="preserve">items/order</x:t>
        </x:is>
      </x:c>
      <x:c r="D4" t="inlineStr">
        <x:is>
          <x:t xml:space="preserve">Used to size order_items table</x:t>
        </x:is>
      </x:c>
    </x:row>
    <x:row r="5">
      <x:c r="A5" s="4" t="inlineStr">
        <x:is>
          <x:t xml:space="preserve">Daily active users</x:t>
        </x:is>
      </x:c>
      <x:c r="B5" s="5" t="n">
        <x:v>100000</x:v>
      </x:c>
      <x:c r="C5" s="6" t="inlineStr">
        <x:is>
          <x:t xml:space="preserve">users/day</x:t>
        </x:is>
      </x:c>
      <x:c r="D5" t="inlineStr">
        <x:is>
          <x:t xml:space="preserve">Used for sessions, carts, page views</x:t>
        </x:is>
      </x:c>
    </x:row>
    <x:row r="6">
      <x:c r="A6" s="4" t="inlineStr">
        <x:is>
          <x:t xml:space="preserve">Peak concurrent users</x:t>
        </x:is>
      </x:c>
      <x:c r="B6" s="5" t="n">
        <x:v>5000</x:v>
      </x:c>
      <x:c r="C6" s="6" t="inlineStr">
        <x:is>
          <x:t xml:space="preserve">users</x:t>
        </x:is>
      </x:c>
      <x:c r="D6" t="inlineStr">
        <x:is>
          <x:t xml:space="preserve">Used for application RAM and Redis sessions</x:t>
        </x:is>
      </x:c>
    </x:row>
    <x:row r="7">
      <x:c r="A7" s="4" t="inlineStr">
        <x:is>
          <x:t xml:space="preserve">Page views per active user</x:t>
        </x:is>
      </x:c>
      <x:c r="B7" s="5" t="n">
        <x:v>8</x:v>
      </x:c>
      <x:c r="C7" s="6" t="inlineStr">
        <x:is>
          <x:t xml:space="preserve">views/user/day</x:t>
        </x:is>
      </x:c>
      <x:c r="D7" t="inlineStr">
        <x:is>
          <x:t xml:space="preserve">Used for Kafka browse events</x:t>
        </x:is>
      </x:c>
    </x:row>
    <x:row r="8">
      <x:c r="A8" s="2" t="inlineStr">
        <x:is>
          <x:t xml:space="preserve">Database Assumptions</x:t>
        </x:is>
      </x:c>
      <x:c r="B8" s="17" t="n"/>
      <x:c r="C8" s="17" t="n"/>
      <x:c r="D8" s="17" t="n"/>
    </x:row>
    <x:row r="9">
      <x:c r="A9" s="4" t="inlineStr">
        <x:is>
          <x:t xml:space="preserve">Avg user row size</x:t>
        </x:is>
      </x:c>
      <x:c r="B9" s="5" t="n">
        <x:v>2</x:v>
      </x:c>
      <x:c r="C9" s="6" t="inlineStr">
        <x:is>
          <x:t xml:space="preserve">KB/row</x:t>
        </x:is>
      </x:c>
      <x:c r="D9" t="inlineStr">
        <x:is>
          <x:t xml:space="preserve">Profile, addresses, preferences in normalized relational tables</x:t>
        </x:is>
      </x:c>
    </x:row>
    <x:row r="10">
      <x:c r="A10" s="4" t="inlineStr">
        <x:is>
          <x:t xml:space="preserve">Avg product row size</x:t>
        </x:is>
      </x:c>
      <x:c r="B10" s="5" t="n">
        <x:v>4</x:v>
      </x:c>
      <x:c r="C10" s="6" t="inlineStr">
        <x:is>
          <x:t xml:space="preserve">KB/row</x:t>
        </x:is>
      </x:c>
      <x:c r="D10" t="inlineStr">
        <x:is>
          <x:t xml:space="preserve">Catalog metadata excluding large images</x:t>
        </x:is>
      </x:c>
    </x:row>
    <x:row r="11">
      <x:c r="A11" s="4" t="inlineStr">
        <x:is>
          <x:t xml:space="preserve">Number of products</x:t>
        </x:is>
      </x:c>
      <x:c r="B11" s="5" t="n">
        <x:v>50000</x:v>
      </x:c>
      <x:c r="C11" s="6" t="inlineStr">
        <x:is>
          <x:t xml:space="preserve">rows</x:t>
        </x:is>
      </x:c>
      <x:c r="D11" t="inlineStr">
        <x:is>
          <x:t xml:space="preserve">Small-to-mid catalog</x:t>
        </x:is>
      </x:c>
    </x:row>
    <x:row r="12">
      <x:c r="A12" s="4" t="inlineStr">
        <x:is>
          <x:t xml:space="preserve">Avg order row size</x:t>
        </x:is>
      </x:c>
      <x:c r="B12" s="5" t="n">
        <x:v>4</x:v>
      </x:c>
      <x:c r="C12" s="6" t="inlineStr">
        <x:is>
          <x:t xml:space="preserve">KB/row</x:t>
        </x:is>
      </x:c>
      <x:c r="D12" t="inlineStr">
        <x:is>
          <x:t xml:space="preserve">Order header plus payment/shipping refs</x:t>
        </x:is>
      </x:c>
    </x:row>
    <x:row r="13">
      <x:c r="A13" s="4" t="inlineStr">
        <x:is>
          <x:t xml:space="preserve">Avg order-item row size</x:t>
        </x:is>
      </x:c>
      <x:c r="B13" s="5" t="n">
        <x:v>1</x:v>
      </x:c>
      <x:c r="C13" s="6" t="inlineStr">
        <x:is>
          <x:t xml:space="preserve">KB/row</x:t>
        </x:is>
      </x:c>
      <x:c r="D13" t="inlineStr">
        <x:is>
          <x:t xml:space="preserve">Each purchased item line</x:t>
        </x:is>
      </x:c>
    </x:row>
    <x:row r="14">
      <x:c r="A14" s="4" t="inlineStr">
        <x:is>
          <x:t xml:space="preserve">Registered users</x:t>
        </x:is>
      </x:c>
      <x:c r="B14" s="5" t="n">
        <x:v>1000000</x:v>
      </x:c>
      <x:c r="C14" s="6" t="inlineStr">
        <x:is>
          <x:t xml:space="preserve">rows</x:t>
        </x:is>
      </x:c>
      <x:c r="D14" t="inlineStr">
        <x:is>
          <x:t xml:space="preserve">Persisted customer base</x:t>
        </x:is>
      </x:c>
    </x:row>
    <x:row r="15">
      <x:c r="A15" s="4" t="inlineStr">
        <x:is>
          <x:t xml:space="preserve">DB index overhead</x:t>
        </x:is>
      </x:c>
      <x:c r="B15" s="8" t="n">
        <x:v>0.4</x:v>
      </x:c>
      <x:c r="C15" s="6" t="inlineStr">
        <x:is>
          <x:t xml:space="preserve">%</x:t>
        </x:is>
      </x:c>
      <x:c r="D15" t="inlineStr">
        <x:is>
          <x:t xml:space="preserve">Indexes often add 20% to 60%; using 40%</x:t>
        </x:is>
      </x:c>
    </x:row>
    <x:row r="16">
      <x:c r="A16" s="4" t="inlineStr">
        <x:is>
          <x:t xml:space="preserve">DB replication copies</x:t>
        </x:is>
      </x:c>
      <x:c r="B16" s="5" t="n">
        <x:v>2</x:v>
      </x:c>
      <x:c r="C16" s="6" t="inlineStr">
        <x:is>
          <x:t xml:space="preserve">copies</x:t>
        </x:is>
      </x:c>
      <x:c r="D16" t="inlineStr">
        <x:is>
          <x:t xml:space="preserve">Primary + 1 replica</x:t>
        </x:is>
      </x:c>
    </x:row>
    <x:row r="17">
      <x:c r="A17" s="4" t="inlineStr">
        <x:is>
          <x:t xml:space="preserve">DB backup reserve</x:t>
        </x:is>
      </x:c>
      <x:c r="B17" s="8" t="n">
        <x:v>1</x:v>
      </x:c>
      <x:c r="C17" s="6" t="inlineStr">
        <x:is>
          <x:t xml:space="preserve">%</x:t>
        </x:is>
      </x:c>
      <x:c r="D17" t="inlineStr">
        <x:is>
          <x:t xml:space="preserve">Extra full logical/physical backup space reserve</x:t>
        </x:is>
      </x:c>
    </x:row>
    <x:row r="18">
      <x:c r="A18" s="4" t="inlineStr">
        <x:is>
          <x:t xml:space="preserve">DB headroom</x:t>
        </x:is>
      </x:c>
      <x:c r="B18" s="8" t="n">
        <x:v>0.3</x:v>
      </x:c>
      <x:c r="C18" s="6" t="inlineStr">
        <x:is>
          <x:t xml:space="preserve">%</x:t>
        </x:is>
      </x:c>
      <x:c r="D18" t="inlineStr">
        <x:is>
          <x:t xml:space="preserve">Free space for growth, vacuum, maintenance</x:t>
        </x:is>
      </x:c>
    </x:row>
    <x:row r="19">
      <x:c r="A19" s="4" t="inlineStr">
        <x:is>
          <x:t xml:space="preserve">Data retention</x:t>
        </x:is>
      </x:c>
      <x:c r="B19" s="5" t="n">
        <x:v>365</x:v>
      </x:c>
      <x:c r="C19" s="6" t="inlineStr">
        <x:is>
          <x:t xml:space="preserve">days</x:t>
        </x:is>
      </x:c>
      <x:c r="D19" t="inlineStr">
        <x:is>
          <x:t xml:space="preserve">One year retained in OLTP</x:t>
        </x:is>
      </x:c>
    </x:row>
    <x:row r="20">
      <x:c r="A20" s="2" t="inlineStr">
        <x:is>
          <x:t xml:space="preserve">Redis Assumptions</x:t>
        </x:is>
      </x:c>
      <x:c r="B20" s="17" t="n"/>
      <x:c r="C20" s="17" t="n"/>
      <x:c r="D20" s="17" t="n"/>
    </x:row>
    <x:row r="21">
      <x:c r="A21" s="4" t="inlineStr">
        <x:is>
          <x:t xml:space="preserve">Avg session object</x:t>
        </x:is>
      </x:c>
      <x:c r="B21" s="5" t="n">
        <x:v>4</x:v>
      </x:c>
      <x:c r="C21" s="6" t="inlineStr">
        <x:is>
          <x:t xml:space="preserve">KB/session</x:t>
        </x:is>
      </x:c>
      <x:c r="D21" t="inlineStr">
        <x:is>
          <x:t xml:space="preserve">Auth/session/token state</x:t>
        </x:is>
      </x:c>
    </x:row>
    <x:row r="22">
      <x:c r="A22" s="4" t="inlineStr">
        <x:is>
          <x:t xml:space="preserve">Concurrent sessions cached</x:t>
        </x:is>
      </x:c>
      <x:c r="B22" s="5" t="n">
        <x:v>5000</x:v>
      </x:c>
      <x:c r="C22" s="6" t="inlineStr">
        <x:is>
          <x:t xml:space="preserve">sessions</x:t>
        </x:is>
      </x:c>
      <x:c r="D22" t="inlineStr">
        <x:is>
          <x:t xml:space="preserve">Approx equal to peak concurrent users</x:t>
        </x:is>
      </x:c>
    </x:row>
    <x:row r="23">
      <x:c r="A23" s="4" t="inlineStr">
        <x:is>
          <x:t xml:space="preserve">Hot product cache entries</x:t>
        </x:is>
      </x:c>
      <x:c r="B23" s="5" t="n">
        <x:v>10000</x:v>
      </x:c>
      <x:c r="C23" s="6" t="inlineStr">
        <x:is>
          <x:t xml:space="preserve">entries</x:t>
        </x:is>
      </x:c>
      <x:c r="D23" t="inlineStr">
        <x:is>
          <x:t xml:space="preserve">Frequently viewed products</x:t>
        </x:is>
      </x:c>
    </x:row>
    <x:row r="24">
      <x:c r="A24" s="4" t="inlineStr">
        <x:is>
          <x:t xml:space="preserve">Avg product cache payload</x:t>
        </x:is>
      </x:c>
      <x:c r="B24" s="5" t="n">
        <x:v>2</x:v>
      </x:c>
      <x:c r="C24" s="6" t="inlineStr">
        <x:is>
          <x:t xml:space="preserve">KB/entry</x:t>
        </x:is>
      </x:c>
      <x:c r="D24" t="inlineStr">
        <x:is>
          <x:t xml:space="preserve">Serialized product summary</x:t>
        </x:is>
      </x:c>
    </x:row>
    <x:row r="25">
      <x:c r="A25" s="4" t="inlineStr">
        <x:is>
          <x:t xml:space="preserve">Active carts cached</x:t>
        </x:is>
      </x:c>
      <x:c r="B25" s="5" t="n">
        <x:v>30000</x:v>
      </x:c>
      <x:c r="C25" s="6" t="inlineStr">
        <x:is>
          <x:t xml:space="preserve">carts</x:t>
        </x:is>
      </x:c>
      <x:c r="D25" t="inlineStr">
        <x:is>
          <x:t xml:space="preserve">Open carts, about 3x daily orders</x:t>
        </x:is>
      </x:c>
    </x:row>
    <x:row r="26">
      <x:c r="A26" s="4" t="inlineStr">
        <x:is>
          <x:t xml:space="preserve">Avg cart payload</x:t>
        </x:is>
      </x:c>
      <x:c r="B26" s="5" t="n">
        <x:v>4</x:v>
      </x:c>
      <x:c r="C26" s="6" t="inlineStr">
        <x:is>
          <x:t xml:space="preserve">KB/cart</x:t>
        </x:is>
      </x:c>
      <x:c r="D26" t="inlineStr">
        <x:is>
          <x:t xml:space="preserve">Items, prices, promo snapshot</x:t>
        </x:is>
      </x:c>
    </x:row>
    <x:row r="27">
      <x:c r="A27" s="4" t="inlineStr">
        <x:is>
          <x:t xml:space="preserve">Redis fragmentation + metadata</x:t>
        </x:is>
      </x:c>
      <x:c r="B27" s="8" t="n">
        <x:v>0.3</x:v>
      </x:c>
      <x:c r="C27" s="6" t="inlineStr">
        <x:is>
          <x:t xml:space="preserve">%</x:t>
        </x:is>
      </x:c>
      <x:c r="D27" t="inlineStr">
        <x:is>
          <x:t xml:space="preserve">Allocator overhead and hash/object metadata</x:t>
        </x:is>
      </x:c>
    </x:row>
    <x:row r="28">
      <x:c r="A28" s="4" t="inlineStr">
        <x:is>
          <x:t xml:space="preserve">Redis replicas</x:t>
        </x:is>
      </x:c>
      <x:c r="B28" s="5" t="n">
        <x:v>2</x:v>
      </x:c>
      <x:c r="C28" s="6" t="inlineStr">
        <x:is>
          <x:t xml:space="preserve">copies</x:t>
        </x:is>
      </x:c>
      <x:c r="D28" t="inlineStr">
        <x:is>
          <x:t xml:space="preserve">Primary + 1 replica</x:t>
        </x:is>
      </x:c>
    </x:row>
    <x:row r="29">
      <x:c r="A29" s="4" t="inlineStr">
        <x:is>
          <x:t xml:space="preserve">Redis headroom</x:t>
        </x:is>
      </x:c>
      <x:c r="B29" s="8" t="n">
        <x:v>0.25</x:v>
      </x:c>
      <x:c r="C29" s="6" t="inlineStr">
        <x:is>
          <x:t xml:space="preserve">%</x:t>
        </x:is>
      </x:c>
      <x:c r="D29" t="inlineStr">
        <x:is>
          <x:t xml:space="preserve">Room for bursts and failover</x:t>
        </x:is>
      </x:c>
    </x:row>
    <x:row r="30">
      <x:c r="A30" s="2" t="inlineStr">
        <x:is>
          <x:t xml:space="preserve">Kafka Assumptions</x:t>
        </x:is>
      </x:c>
      <x:c r="B30" s="17" t="n"/>
      <x:c r="C30" s="17" t="n"/>
      <x:c r="D30" s="17" t="n"/>
    </x:row>
    <x:row r="31">
      <x:c r="A31" s="4" t="inlineStr">
        <x:is>
          <x:t xml:space="preserve">Browse events per page view</x:t>
        </x:is>
      </x:c>
      <x:c r="B31" s="5" t="n">
        <x:v>1</x:v>
      </x:c>
      <x:c r="C31" s="6" t="inlineStr">
        <x:is>
          <x:t xml:space="preserve">events/view</x:t>
        </x:is>
      </x:c>
      <x:c r="D31" t="inlineStr">
        <x:is>
          <x:t xml:space="preserve">User activity stream</x:t>
        </x:is>
      </x:c>
    </x:row>
    <x:row r="32">
      <x:c r="A32" s="4" t="inlineStr">
        <x:is>
          <x:t xml:space="preserve">Operational events per order</x:t>
        </x:is>
      </x:c>
      <x:c r="B32" s="5" t="n">
        <x:v>8</x:v>
      </x:c>
      <x:c r="C32" s="6" t="inlineStr">
        <x:is>
          <x:t xml:space="preserve">events/order</x:t>
        </x:is>
      </x:c>
      <x:c r="D32" t="inlineStr">
        <x:is>
          <x:t xml:space="preserve">Order created, payment, inventory, shipment, etc.</x:t>
        </x:is>
      </x:c>
    </x:row>
    <x:row r="33">
      <x:c r="A33" s="4" t="inlineStr">
        <x:is>
          <x:t xml:space="preserve">Avg Kafka message size</x:t>
        </x:is>
      </x:c>
      <x:c r="B33" s="7" t="n">
        <x:v>1.5</x:v>
      </x:c>
      <x:c r="C33" s="6" t="inlineStr">
        <x:is>
          <x:t xml:space="preserve">KB/event</x:t>
        </x:is>
      </x:c>
      <x:c r="D33" t="inlineStr">
        <x:is>
          <x:t xml:space="preserve">JSON or Avro-like event</x:t>
        </x:is>
      </x:c>
    </x:row>
    <x:row r="34">
      <x:c r="A34" s="4" t="inlineStr">
        <x:is>
          <x:t xml:space="preserve">Kafka retention</x:t>
        </x:is>
      </x:c>
      <x:c r="B34" s="5" t="n">
        <x:v>3</x:v>
      </x:c>
      <x:c r="C34" s="6" t="inlineStr">
        <x:is>
          <x:t xml:space="preserve">days</x:t>
        </x:is>
      </x:c>
      <x:c r="D34" t="inlineStr">
        <x:is>
          <x:t xml:space="preserve">Short retention for streaming / replay</x:t>
        </x:is>
      </x:c>
    </x:row>
    <x:row r="35">
      <x:c r="A35" s="4" t="inlineStr">
        <x:is>
          <x:t xml:space="preserve">Kafka replication factor</x:t>
        </x:is>
      </x:c>
      <x:c r="B35" s="5" t="n">
        <x:v>3</x:v>
      </x:c>
      <x:c r="C35" s="6" t="inlineStr">
        <x:is>
          <x:t xml:space="preserve">copies</x:t>
        </x:is>
      </x:c>
      <x:c r="D35" t="inlineStr">
        <x:is>
          <x:t xml:space="preserve">Typical broker durability setting</x:t>
        </x:is>
      </x:c>
    </x:row>
    <x:row r="36">
      <x:c r="A36" s="4" t="inlineStr">
        <x:is>
          <x:t xml:space="preserve">Kafka headroom</x:t>
        </x:is>
      </x:c>
      <x:c r="B36" s="8" t="n">
        <x:v>0.3</x:v>
      </x:c>
      <x:c r="C36" s="6" t="inlineStr">
        <x:is>
          <x:t xml:space="preserve">%</x:t>
        </x:is>
      </x:c>
      <x:c r="D36" t="inlineStr">
        <x:is>
          <x:t xml:space="preserve">Broker disk free space reserve</x:t>
        </x:is>
      </x:c>
    </x:row>
    <x:row r="37">
      <x:c r="A37" s="2" t="inlineStr">
        <x:is>
          <x:t xml:space="preserve">Object / File Storage Assumptions</x:t>
        </x:is>
      </x:c>
      <x:c r="B37" s="17" t="n"/>
      <x:c r="C37" s="17" t="n"/>
      <x:c r="D37" s="17" t="n"/>
    </x:row>
    <x:row r="38">
      <x:c r="A38" s="4" t="inlineStr">
        <x:is>
          <x:t xml:space="preserve">Avg images per product</x:t>
        </x:is>
      </x:c>
      <x:c r="B38" s="5" t="n">
        <x:v>4</x:v>
      </x:c>
      <x:c r="C38" s="6" t="inlineStr">
        <x:is>
          <x:t xml:space="preserve">images/product</x:t>
        </x:is>
      </x:c>
      <x:c r="D38" t="inlineStr">
        <x:is>
          <x:t xml:space="preserve">Catalog media</x:t>
        </x:is>
      </x:c>
    </x:row>
    <x:row r="39">
      <x:c r="A39" s="4" t="inlineStr">
        <x:is>
          <x:t xml:space="preserve">Avg image size</x:t>
        </x:is>
      </x:c>
      <x:c r="B39" s="5" t="n">
        <x:v>300</x:v>
      </x:c>
      <x:c r="C39" s="6" t="inlineStr">
        <x:is>
          <x:t xml:space="preserve">KB/image</x:t>
        </x:is>
      </x:c>
      <x:c r="D39" t="inlineStr">
        <x:is>
          <x:t xml:space="preserve">Compressed web image</x:t>
        </x:is>
      </x:c>
    </x:row>
    <x:row r="40">
      <x:c r="A40" s="4" t="inlineStr">
        <x:is>
          <x:t xml:space="preserve">Invoice PDF per order</x:t>
        </x:is>
      </x:c>
      <x:c r="B40" s="5" t="n">
        <x:v>1</x:v>
      </x:c>
      <x:c r="C40" s="6" t="inlineStr">
        <x:is>
          <x:t xml:space="preserve">pdf/order</x:t>
        </x:is>
      </x:c>
      <x:c r="D40" t="inlineStr">
        <x:is>
          <x:t xml:space="preserve">Order invoice copy</x:t>
        </x:is>
      </x:c>
    </x:row>
    <x:row r="41">
      <x:c r="A41" s="4" t="inlineStr">
        <x:is>
          <x:t xml:space="preserve">Avg invoice size</x:t>
        </x:is>
      </x:c>
      <x:c r="B41" s="5" t="n">
        <x:v>120</x:v>
      </x:c>
      <x:c r="C41" s="6" t="inlineStr">
        <x:is>
          <x:t xml:space="preserve">KB/pdf</x:t>
        </x:is>
      </x:c>
      <x:c r="D41" t="inlineStr">
        <x:is>
          <x:t xml:space="preserve">Typical generated invoice</x:t>
        </x:is>
      </x:c>
    </x:row>
    <x:row r="42">
      <x:c r="A42" s="4" t="inlineStr">
        <x:is>
          <x:t xml:space="preserve">Object storage replicas/copies</x:t>
        </x:is>
      </x:c>
      <x:c r="B42" s="5" t="n">
        <x:v>2</x:v>
      </x:c>
      <x:c r="C42" s="6" t="inlineStr">
        <x:is>
          <x:t xml:space="preserve">copies</x:t>
        </x:is>
      </x:c>
      <x:c r="D42" t="inlineStr">
        <x:is>
          <x:t xml:space="preserve">Primary + replicated copy</x:t>
        </x:is>
      </x:c>
    </x:row>
    <x:row r="43">
      <x:c r="A43" s="4" t="inlineStr">
        <x:is>
          <x:t xml:space="preserve">Object storage headroom</x:t>
        </x:is>
      </x:c>
      <x:c r="B43" s="8" t="n">
        <x:v>0.25</x:v>
      </x:c>
      <x:c r="C43" s="6" t="inlineStr">
        <x:is>
          <x:t xml:space="preserve">%</x:t>
        </x:is>
      </x:c>
      <x:c r="D43" t="inlineStr">
        <x:is>
          <x:t xml:space="preserve">Growth and versioning reserve</x:t>
        </x:is>
      </x:c>
    </x:row>
    <x:row r="44">
      <x:c r="A44" s="2" t="inlineStr">
        <x:is>
          <x:t xml:space="preserve">Application RAM Assumptions</x:t>
        </x:is>
      </x:c>
      <x:c r="B44" s="17" t="n"/>
      <x:c r="C44" s="17" t="n"/>
      <x:c r="D44" s="17" t="n"/>
    </x:row>
    <x:row r="45">
      <x:c r="A45" s="4" t="inlineStr">
        <x:is>
          <x:t xml:space="preserve">App instances</x:t>
        </x:is>
      </x:c>
      <x:c r="B45" s="5" t="n">
        <x:v>6</x:v>
      </x:c>
      <x:c r="C45" s="6" t="inlineStr">
        <x:is>
          <x:t xml:space="preserve">pods/VMs</x:t>
        </x:is>
      </x:c>
      <x:c r="D45" t="inlineStr">
        <x:is>
          <x:t xml:space="preserve">Small horizontally scaled setup</x:t>
        </x:is>
      </x:c>
    </x:row>
    <x:row r="46">
      <x:c r="A46" s="4" t="inlineStr">
        <x:is>
          <x:t xml:space="preserve">RAM per app instance</x:t>
        </x:is>
      </x:c>
      <x:c r="B46" s="5" t="n">
        <x:v>2</x:v>
      </x:c>
      <x:c r="C46" s="6" t="inlineStr">
        <x:is>
          <x:t xml:space="preserve">GB</x:t>
        </x:is>
      </x:c>
      <x:c r="D46" t="inlineStr">
        <x:is>
          <x:t xml:space="preserve">JVM/Node/Python/Golang service class</x:t>
        </x:is>
      </x:c>
    </x:row>
    <x:row r="47">
      <x:c r="A47" s="4" t="inlineStr">
        <x:is>
          <x:t xml:space="preserve">Infra / sidecar overhead</x:t>
        </x:is>
      </x:c>
      <x:c r="B47" s="8" t="n">
        <x:v>0.2</x:v>
      </x:c>
      <x:c r="C47" s="6" t="inlineStr">
        <x:is>
          <x:t xml:space="preserve">%</x:t>
        </x:is>
      </x:c>
      <x:c r="D47" t="inlineStr">
        <x:is>
          <x:t xml:space="preserve">OS, sidecars, monitoring agents</x:t>
        </x:is>
      </x:c>
    </x:row>
    <x:row r="48">
      <x:c r="A48" s="4" t="inlineStr">
        <x:is>
          <x:t xml:space="preserve">Cluster headroom</x:t>
        </x:is>
      </x:c>
      <x:c r="B48" s="8" t="n">
        <x:v>0.25</x:v>
      </x:c>
      <x:c r="C48" s="6" t="inlineStr">
        <x:is>
          <x:t xml:space="preserve">%</x:t>
        </x:is>
      </x:c>
      <x:c r="D48" t="inlineStr">
        <x:is>
          <x:t xml:space="preserve">Capacity reserve for spikes and rolling deploys</x:t>
        </x:is>
      </x:c>
    </x:row>
  </x:sheetData>
  <x:mergeCells>
    <x:mergeCell ref="A37:D37"/>
    <x:mergeCell ref="A8:D8"/>
    <x:mergeCell ref="A20:D20"/>
    <x:mergeCell ref="A30:D30"/>
    <x:mergeCell ref="A2:D2"/>
    <x:mergeCell ref="A44:D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40" customWidth="1"/>
    <x:col min="3" max="3" width="40" customWidth="1"/>
    <x:col min="4" max="4" width="40" customWidth="1"/>
    <x:col min="5" max="5" width="12" customWidth="1"/>
    <x:col min="6" max="6" width="40" customWidth="1"/>
  </x:cols>
  <x:sheetData>
    <x:row r="1">
      <x:c r="A1" s="1" t="inlineStr">
        <x:is>
          <x:t xml:space="preserve">Component</x:t>
        </x:is>
      </x:c>
      <x:c r="B1" s="1" t="inlineStr">
        <x:is>
          <x:t xml:space="preserve">Metric</x:t>
        </x:is>
      </x:c>
      <x:c r="C1" s="1" t="inlineStr">
        <x:is>
          <x:t xml:space="preserve">Formula / Driver</x:t>
        </x:is>
      </x:c>
      <x:c r="D1" s="1" t="inlineStr">
        <x:is>
          <x:t xml:space="preserve">Calculated Value</x:t>
        </x:is>
      </x:c>
      <x:c r="E1" s="1" t="inlineStr">
        <x:is>
          <x:t xml:space="preserve">Unit</x:t>
        </x:is>
      </x:c>
      <x:c r="F1" s="1" t="inlineStr">
        <x:is>
          <x:t xml:space="preserve">Why this number matters</x:t>
        </x:is>
      </x:c>
    </x:row>
    <x:row r="2">
      <x:c r="A2" s="9" t="inlineStr">
        <x:is>
          <x:t xml:space="preserve">Database capacity</x:t>
        </x:is>
      </x:c>
    </x:row>
    <x:row r="3">
      <x:c r="A3" t="inlineStr">
        <x:is>
          <x:t xml:space="preserve">Database</x:t>
        </x:is>
      </x:c>
      <x:c r="B3" t="inlineStr">
        <x:is>
          <x:t xml:space="preserve">Users data size (GB)</x:t>
        </x:is>
      </x:c>
      <x:c r="C3">
        <x:f>Assumptions!B14*Assumptions!B9/1024/1024</x:f>
        <x:v>1.9073486328125</x:v>
      </x:c>
      <x:c r="D3" s="10">
        <x:f>Assumptions!B14*Assumptions!B9/1024/1024</x:f>
        <x:v>1.9073486328125</x:v>
      </x:c>
      <x:c r="E3" s="6" t="inlineStr">
        <x:is>
          <x:t xml:space="preserve">GB</x:t>
        </x:is>
      </x:c>
      <x:c r="F3" t="inlineStr">
        <x:is>
          <x:t xml:space="preserve">Base persisted user footprint</x:t>
        </x:is>
      </x:c>
    </x:row>
    <x:row r="4">
      <x:c r="A4" t="inlineStr">
        <x:is>
          <x:t xml:space="preserve">Database</x:t>
        </x:is>
      </x:c>
      <x:c r="B4" t="inlineStr">
        <x:is>
          <x:t xml:space="preserve">Products data size (GB)</x:t>
        </x:is>
      </x:c>
      <x:c r="C4">
        <x:f>Assumptions!B11*Assumptions!B10/1024/1024</x:f>
        <x:v>0.19073486328125</x:v>
      </x:c>
      <x:c r="D4" s="10">
        <x:f>Assumptions!B11*Assumptions!B10/1024/1024</x:f>
        <x:v>0.19073486328125</x:v>
      </x:c>
      <x:c r="E4" s="6" t="inlineStr">
        <x:is>
          <x:t xml:space="preserve">GB</x:t>
        </x:is>
      </x:c>
      <x:c r="F4" t="inlineStr">
        <x:is>
          <x:t xml:space="preserve">Catalog table footprint excluding images</x:t>
        </x:is>
      </x:c>
    </x:row>
    <x:row r="5">
      <x:c r="A5" t="inlineStr">
        <x:is>
          <x:t xml:space="preserve">Database</x:t>
        </x:is>
      </x:c>
      <x:c r="B5" t="inlineStr">
        <x:is>
          <x:t xml:space="preserve">Orders/year</x:t>
        </x:is>
      </x:c>
      <x:c r="C5">
        <x:f>Assumptions!B3*Assumptions!B19</x:f>
        <x:v>3650000</x:v>
      </x:c>
      <x:c r="D5" s="10">
        <x:f>Assumptions!B3*Assumptions!B19</x:f>
        <x:v>3650000</x:v>
      </x:c>
      <x:c r="E5" s="6" t="inlineStr">
        <x:is>
          <x:t xml:space="preserve">orders</x:t>
        </x:is>
      </x:c>
      <x:c r="F5" t="inlineStr">
        <x:is>
          <x:t xml:space="preserve">Annual transactional volume</x:t>
        </x:is>
      </x:c>
    </x:row>
    <x:row r="6">
      <x:c r="A6" t="inlineStr">
        <x:is>
          <x:t xml:space="preserve">Database</x:t>
        </x:is>
      </x:c>
      <x:c r="B6" t="inlineStr">
        <x:is>
          <x:t xml:space="preserve">Orders header size (GB)</x:t>
        </x:is>
      </x:c>
      <x:c r="C6">
        <x:f>D5*Assumptions!B12/1024/1024</x:f>
        <x:v>13.92364501953125</x:v>
      </x:c>
      <x:c r="D6" s="10">
        <x:f>D5*Assumptions!B12/1024/1024</x:f>
        <x:v>13.92364501953125</x:v>
      </x:c>
      <x:c r="E6" s="6" t="inlineStr">
        <x:is>
          <x:t xml:space="preserve">GB</x:t>
        </x:is>
      </x:c>
      <x:c r="F6" t="inlineStr">
        <x:is>
          <x:t xml:space="preserve">Order master records</x:t>
        </x:is>
      </x:c>
    </x:row>
    <x:row r="7">
      <x:c r="A7" t="inlineStr">
        <x:is>
          <x:t xml:space="preserve">Database</x:t>
        </x:is>
      </x:c>
      <x:c r="B7" t="inlineStr">
        <x:is>
          <x:t xml:space="preserve">Order items/year</x:t>
        </x:is>
      </x:c>
      <x:c r="C7">
        <x:f>D5*Assumptions!B4</x:f>
        <x:v>9125000</x:v>
      </x:c>
      <x:c r="D7" s="10">
        <x:f>D5*Assumptions!B4</x:f>
        <x:v>9125000</x:v>
      </x:c>
      <x:c r="E7" s="6" t="inlineStr">
        <x:is>
          <x:t xml:space="preserve">rows</x:t>
        </x:is>
      </x:c>
      <x:c r="F7" t="inlineStr">
        <x:is>
          <x:t xml:space="preserve">Line items created over retention window</x:t>
        </x:is>
      </x:c>
    </x:row>
    <x:row r="8">
      <x:c r="A8" t="inlineStr">
        <x:is>
          <x:t xml:space="preserve">Database</x:t>
        </x:is>
      </x:c>
      <x:c r="B8" t="inlineStr">
        <x:is>
          <x:t xml:space="preserve">Order items size (GB)</x:t>
        </x:is>
      </x:c>
      <x:c r="C8">
        <x:f>D7*Assumptions!B13/1024/1024</x:f>
        <x:v>8.702278137207031</x:v>
      </x:c>
      <x:c r="D8" s="10">
        <x:f>D7*Assumptions!B13/1024/1024</x:f>
        <x:v>8.702278137207031</x:v>
      </x:c>
      <x:c r="E8" s="6" t="inlineStr">
        <x:is>
          <x:t xml:space="preserve">GB</x:t>
        </x:is>
      </x:c>
      <x:c r="F8" t="inlineStr">
        <x:is>
          <x:t xml:space="preserve">Line-item records</x:t>
        </x:is>
      </x:c>
    </x:row>
    <x:row r="9">
      <x:c r="A9" t="inlineStr">
        <x:is>
          <x:t xml:space="preserve">Database</x:t>
        </x:is>
      </x:c>
      <x:c r="B9" t="inlineStr">
        <x:is>
          <x:t xml:space="preserve">Raw OLTP data (GB)</x:t>
        </x:is>
      </x:c>
      <x:c r="C9">
        <x:f>SUM(D3:D8)</x:f>
        <x:v>12775024.724006653</x:v>
      </x:c>
      <x:c r="D9" s="10">
        <x:f>D3+D4+D6+D8</x:f>
        <x:v>24.72400665283203</x:v>
      </x:c>
      <x:c r="E9" s="6" t="inlineStr">
        <x:is>
          <x:t xml:space="preserve">GB</x:t>
        </x:is>
      </x:c>
      <x:c r="F9" t="inlineStr">
        <x:is>
          <x:t xml:space="preserve">Base tables before indexes</x:t>
        </x:is>
      </x:c>
    </x:row>
    <x:row r="10">
      <x:c r="A10" t="inlineStr">
        <x:is>
          <x:t xml:space="preserve">Database</x:t>
        </x:is>
      </x:c>
      <x:c r="B10" t="inlineStr">
        <x:is>
          <x:t xml:space="preserve">With indexes (GB)</x:t>
        </x:is>
      </x:c>
      <x:c r="C10">
        <x:f>D9*(1+Assumptions!B15)</x:f>
        <x:v>34.613609313964844</x:v>
      </x:c>
      <x:c r="D10" s="10">
        <x:f>D9*(1+Assumptions!B15)</x:f>
        <x:v>34.613609313964844</x:v>
      </x:c>
      <x:c r="E10" s="6" t="inlineStr">
        <x:is>
          <x:t xml:space="preserve">GB</x:t>
        </x:is>
      </x:c>
      <x:c r="F10" t="inlineStr">
        <x:is>
          <x:t xml:space="preserve">Adds secondary indexes and PK overhead</x:t>
        </x:is>
      </x:c>
    </x:row>
    <x:row r="11">
      <x:c r="A11" t="inlineStr">
        <x:is>
          <x:t xml:space="preserve">Database</x:t>
        </x:is>
      </x:c>
      <x:c r="B11" t="inlineStr">
        <x:is>
          <x:t xml:space="preserve">With replication (GB)</x:t>
        </x:is>
      </x:c>
      <x:c r="C11">
        <x:f>D10*Assumptions!B16</x:f>
        <x:v>69.22721862792969</x:v>
      </x:c>
      <x:c r="D11" s="10">
        <x:f>D10*Assumptions!B16</x:f>
        <x:v>69.22721862792969</x:v>
      </x:c>
      <x:c r="E11" s="6" t="inlineStr">
        <x:is>
          <x:t xml:space="preserve">GB</x:t>
        </x:is>
      </x:c>
      <x:c r="F11" t="inlineStr">
        <x:is>
          <x:t xml:space="preserve">Storage needed on primary + replica</x:t>
        </x:is>
      </x:c>
    </x:row>
    <x:row r="12">
      <x:c r="A12" t="inlineStr">
        <x:is>
          <x:t xml:space="preserve">Database</x:t>
        </x:is>
      </x:c>
      <x:c r="B12" t="inlineStr">
        <x:is>
          <x:t xml:space="preserve">With backups reserved (GB)</x:t>
        </x:is>
      </x:c>
      <x:c r="C12">
        <x:f>D11*(1+Assumptions!B17)</x:f>
        <x:v>138.45443725585938</x:v>
      </x:c>
      <x:c r="D12" s="10">
        <x:f>D11*(1+Assumptions!B17)</x:f>
        <x:v>138.45443725585938</x:v>
      </x:c>
      <x:c r="E12" s="6" t="inlineStr">
        <x:is>
          <x:t xml:space="preserve">GB</x:t>
        </x:is>
      </x:c>
      <x:c r="F12" t="inlineStr">
        <x:is>
          <x:t xml:space="preserve">Extra backup footprint</x:t>
        </x:is>
      </x:c>
    </x:row>
    <x:row r="13">
      <x:c r="A13" t="inlineStr">
        <x:is>
          <x:t xml:space="preserve">Database</x:t>
        </x:is>
      </x:c>
      <x:c r="B13" t="inlineStr">
        <x:is>
          <x:t xml:space="preserve">Recommended provisioned DB storage (GB)</x:t>
        </x:is>
      </x:c>
      <x:c r="C13">
        <x:f>D12*(1+Assumptions!B18)</x:f>
        <x:v>179.9907684326172</x:v>
      </x:c>
      <x:c r="D13" s="10">
        <x:f>D12*(1+Assumptions!B18)</x:f>
        <x:v>179.9907684326172</x:v>
      </x:c>
      <x:c r="E13" s="6" t="inlineStr">
        <x:is>
          <x:t xml:space="preserve">GB</x:t>
        </x:is>
      </x:c>
      <x:c r="F13" t="inlineStr">
        <x:is>
          <x:t xml:space="preserve">Final DB disk to provision</x:t>
        </x:is>
      </x:c>
    </x:row>
    <x:row r="15">
      <x:c r="A15" s="9" t="inlineStr">
        <x:is>
          <x:t xml:space="preserve">Redis capacity</x:t>
        </x:is>
      </x:c>
    </x:row>
    <x:row r="16">
      <x:c r="A16" t="inlineStr">
        <x:is>
          <x:t xml:space="preserve">Redis</x:t>
        </x:is>
      </x:c>
      <x:c r="B16" t="inlineStr">
        <x:is>
          <x:t xml:space="preserve">Sessions memory (GB)</x:t>
        </x:is>
      </x:c>
      <x:c r="C16">
        <x:f>Assumptions!B22*Assumptions!B21/1024/1024</x:f>
        <x:v>0.019073486328125</x:v>
      </x:c>
      <x:c r="D16" s="10">
        <x:f>Assumptions!B22*Assumptions!B21/1024/1024</x:f>
        <x:v>0.019073486328125</x:v>
      </x:c>
      <x:c r="E16" s="6" t="inlineStr">
        <x:is>
          <x:t xml:space="preserve">GB</x:t>
        </x:is>
      </x:c>
      <x:c r="F16" t="inlineStr">
        <x:is>
          <x:t xml:space="preserve">Session/token state kept in memory</x:t>
        </x:is>
      </x:c>
    </x:row>
    <x:row r="17">
      <x:c r="A17" t="inlineStr">
        <x:is>
          <x:t xml:space="preserve">Redis</x:t>
        </x:is>
      </x:c>
      <x:c r="B17" t="inlineStr">
        <x:is>
          <x:t xml:space="preserve">Product cache memory (GB)</x:t>
        </x:is>
      </x:c>
      <x:c r="C17">
        <x:f>Assumptions!B23*Assumptions!B24/1024/1024</x:f>
        <x:v>0.019073486328125</x:v>
      </x:c>
      <x:c r="D17" s="10">
        <x:f>Assumptions!B23*Assumptions!B24/1024/1024</x:f>
        <x:v>0.019073486328125</x:v>
      </x:c>
      <x:c r="E17" s="6" t="inlineStr">
        <x:is>
          <x:t xml:space="preserve">GB</x:t>
        </x:is>
      </x:c>
      <x:c r="F17" t="inlineStr">
        <x:is>
          <x:t xml:space="preserve">Hot catalog objects</x:t>
        </x:is>
      </x:c>
    </x:row>
    <x:row r="18">
      <x:c r="A18" t="inlineStr">
        <x:is>
          <x:t xml:space="preserve">Redis</x:t>
        </x:is>
      </x:c>
      <x:c r="B18" t="inlineStr">
        <x:is>
          <x:t xml:space="preserve">Cart cache memory (GB)</x:t>
        </x:is>
      </x:c>
      <x:c r="C18">
        <x:f>Assumptions!B25*Assumptions!B26/1024/1024</x:f>
        <x:v>0.11444091796875</x:v>
      </x:c>
      <x:c r="D18" s="10">
        <x:f>Assumptions!B25*Assumptions!B26/1024/1024</x:f>
        <x:v>0.11444091796875</x:v>
      </x:c>
      <x:c r="E18" s="6" t="inlineStr">
        <x:is>
          <x:t xml:space="preserve">GB</x:t>
        </x:is>
      </x:c>
      <x:c r="F18" t="inlineStr">
        <x:is>
          <x:t xml:space="preserve">Open cart state</x:t>
        </x:is>
      </x:c>
    </x:row>
    <x:row r="19">
      <x:c r="A19" t="inlineStr">
        <x:is>
          <x:t xml:space="preserve">Redis</x:t>
        </x:is>
      </x:c>
      <x:c r="B19" t="inlineStr">
        <x:is>
          <x:t xml:space="preserve">Raw dataset in memory (GB)</x:t>
        </x:is>
      </x:c>
      <x:c r="C19">
        <x:f>SUM(D16:D18)</x:f>
        <x:v>0.152587890625</x:v>
      </x:c>
      <x:c r="D19" s="10">
        <x:f>SUM(D16:D18)</x:f>
        <x:v>0.152587890625</x:v>
      </x:c>
      <x:c r="E19" s="6" t="inlineStr">
        <x:is>
          <x:t xml:space="preserve">GB</x:t>
        </x:is>
      </x:c>
      <x:c r="F19" t="inlineStr">
        <x:is>
          <x:t xml:space="preserve">Logical payload before allocator overhead</x:t>
        </x:is>
      </x:c>
    </x:row>
    <x:row r="20">
      <x:c r="A20" t="inlineStr">
        <x:is>
          <x:t xml:space="preserve">Redis</x:t>
        </x:is>
      </x:c>
      <x:c r="B20" t="inlineStr">
        <x:is>
          <x:t xml:space="preserve">With fragmentation/metadata (GB)</x:t>
        </x:is>
      </x:c>
      <x:c r="C20">
        <x:f>D19*(1+Assumptions!B27)</x:f>
        <x:v>0.1983642578125</x:v>
      </x:c>
      <x:c r="D20" s="10">
        <x:f>D19*(1+Assumptions!B27)</x:f>
        <x:v>0.1983642578125</x:v>
      </x:c>
      <x:c r="E20" s="6" t="inlineStr">
        <x:is>
          <x:t xml:space="preserve">GB</x:t>
        </x:is>
      </x:c>
      <x:c r="F20" t="inlineStr">
        <x:is>
          <x:t xml:space="preserve">Memory allocator and object overhead</x:t>
        </x:is>
      </x:c>
    </x:row>
    <x:row r="21">
      <x:c r="A21" t="inlineStr">
        <x:is>
          <x:t xml:space="preserve">Redis</x:t>
        </x:is>
      </x:c>
      <x:c r="B21" t="inlineStr">
        <x:is>
          <x:t xml:space="preserve">With replica (GB)</x:t>
        </x:is>
      </x:c>
      <x:c r="C21">
        <x:f>D20*Assumptions!B28</x:f>
        <x:v>0.396728515625</x:v>
      </x:c>
      <x:c r="D21" s="10">
        <x:f>D20*Assumptions!B28</x:f>
        <x:v>0.396728515625</x:v>
      </x:c>
      <x:c r="E21" s="6" t="inlineStr">
        <x:is>
          <x:t xml:space="preserve">GB</x:t>
        </x:is>
      </x:c>
      <x:c r="F21" t="inlineStr">
        <x:is>
          <x:t xml:space="preserve">Primary + replica memory footprint</x:t>
        </x:is>
      </x:c>
    </x:row>
    <x:row r="22">
      <x:c r="A22" t="inlineStr">
        <x:is>
          <x:t xml:space="preserve">Redis</x:t>
        </x:is>
      </x:c>
      <x:c r="B22" t="inlineStr">
        <x:is>
          <x:t xml:space="preserve">Recommended provisioned Redis RAM (GB)</x:t>
        </x:is>
      </x:c>
      <x:c r="C22">
        <x:f>D21*(1+Assumptions!B29)</x:f>
        <x:v>0.49591064453125</x:v>
      </x:c>
      <x:c r="D22" s="10">
        <x:f>D21*(1+Assumptions!B29)</x:f>
        <x:v>0.49591064453125</x:v>
      </x:c>
      <x:c r="E22" s="6" t="inlineStr">
        <x:is>
          <x:t xml:space="preserve">GB</x:t>
        </x:is>
      </x:c>
      <x:c r="F22" t="inlineStr">
        <x:is>
          <x:t xml:space="preserve">Provisioned cluster memory</x:t>
        </x:is>
      </x:c>
    </x:row>
    <x:row r="24">
      <x:c r="A24" s="9" t="inlineStr">
        <x:is>
          <x:t xml:space="preserve">Kafka capacity</x:t>
        </x:is>
      </x:c>
    </x:row>
    <x:row r="25">
      <x:c r="A25" t="inlineStr">
        <x:is>
          <x:t xml:space="preserve">Kafka</x:t>
        </x:is>
      </x:c>
      <x:c r="B25" t="inlineStr">
        <x:is>
          <x:t xml:space="preserve">Page views/day</x:t>
        </x:is>
      </x:c>
      <x:c r="C25">
        <x:f>Assumptions!B5*Assumptions!B7</x:f>
        <x:v>800000</x:v>
      </x:c>
      <x:c r="D25" s="10">
        <x:f>Assumptions!B5*Assumptions!B7</x:f>
        <x:v>800000</x:v>
      </x:c>
      <x:c r="E25" s="6" t="inlineStr">
        <x:is>
          <x:t xml:space="preserve">views/day</x:t>
        </x:is>
      </x:c>
      <x:c r="F25" t="inlineStr">
        <x:is>
          <x:t xml:space="preserve">Traffic driver for browse events</x:t>
        </x:is>
      </x:c>
    </x:row>
    <x:row r="26">
      <x:c r="A26" t="inlineStr">
        <x:is>
          <x:t xml:space="preserve">Kafka</x:t>
        </x:is>
      </x:c>
      <x:c r="B26" t="inlineStr">
        <x:is>
          <x:t xml:space="preserve">Browse events/day</x:t>
        </x:is>
      </x:c>
      <x:c r="C26">
        <x:f>D25*Assumptions!B31</x:f>
        <x:v>800000</x:v>
      </x:c>
      <x:c r="D26" s="10">
        <x:f>D25*Assumptions!B31</x:f>
        <x:v>800000</x:v>
      </x:c>
      <x:c r="E26" s="6" t="inlineStr">
        <x:is>
          <x:t xml:space="preserve">events/day</x:t>
        </x:is>
      </x:c>
      <x:c r="F26" t="inlineStr">
        <x:is>
          <x:t xml:space="preserve">User activity stream</x:t>
        </x:is>
      </x:c>
    </x:row>
    <x:row r="27">
      <x:c r="A27" t="inlineStr">
        <x:is>
          <x:t xml:space="preserve">Kafka</x:t>
        </x:is>
      </x:c>
      <x:c r="B27" t="inlineStr">
        <x:is>
          <x:t xml:space="preserve">Operational events/day</x:t>
        </x:is>
      </x:c>
      <x:c r="C27">
        <x:f>Assumptions!B3*Assumptions!B32</x:f>
        <x:v>80000</x:v>
      </x:c>
      <x:c r="D27" s="10">
        <x:f>Assumptions!B3*Assumptions!B32</x:f>
        <x:v>80000</x:v>
      </x:c>
      <x:c r="E27" s="6" t="inlineStr">
        <x:is>
          <x:t xml:space="preserve">events/day</x:t>
        </x:is>
      </x:c>
      <x:c r="F27" t="inlineStr">
        <x:is>
          <x:t xml:space="preserve">Order lifecycle topics</x:t>
        </x:is>
      </x:c>
    </x:row>
    <x:row r="28">
      <x:c r="A28" t="inlineStr">
        <x:is>
          <x:t xml:space="preserve">Kafka</x:t>
        </x:is>
      </x:c>
      <x:c r="B28" t="inlineStr">
        <x:is>
          <x:t xml:space="preserve">Total events/day</x:t>
        </x:is>
      </x:c>
      <x:c r="C28">
        <x:f>SUM(D26:D27)</x:f>
        <x:v>880000</x:v>
      </x:c>
      <x:c r="D28" s="10">
        <x:f>SUM(D26:D27)</x:f>
        <x:v>880000</x:v>
      </x:c>
      <x:c r="E28" s="6" t="inlineStr">
        <x:is>
          <x:t xml:space="preserve">events/day</x:t>
        </x:is>
      </x:c>
      <x:c r="F28" t="inlineStr">
        <x:is>
          <x:t xml:space="preserve">Total daily Kafka ingress</x:t>
        </x:is>
      </x:c>
    </x:row>
    <x:row r="29">
      <x:c r="A29" t="inlineStr">
        <x:is>
          <x:t xml:space="preserve">Kafka</x:t>
        </x:is>
      </x:c>
      <x:c r="B29" t="inlineStr">
        <x:is>
          <x:t xml:space="preserve">Raw Kafka data/day (GB)</x:t>
        </x:is>
      </x:c>
      <x:c r="C29">
        <x:f>D28*Assumptions!B33/1024/1024</x:f>
        <x:v>1.25885009765625</x:v>
      </x:c>
      <x:c r="D29" s="10">
        <x:f>D28*Assumptions!B33/1024/1024</x:f>
        <x:v>1.25885009765625</x:v>
      </x:c>
      <x:c r="E29" s="6" t="inlineStr">
        <x:is>
          <x:t xml:space="preserve">GB/day</x:t>
        </x:is>
      </x:c>
      <x:c r="F29" t="inlineStr">
        <x:is>
          <x:t xml:space="preserve">Raw topic ingress before replication</x:t>
        </x:is>
      </x:c>
    </x:row>
    <x:row r="30">
      <x:c r="A30" t="inlineStr">
        <x:is>
          <x:t xml:space="preserve">Kafka</x:t>
        </x:is>
      </x:c>
      <x:c r="B30" t="inlineStr">
        <x:is>
          <x:t xml:space="preserve">Retained raw Kafka data (GB)</x:t>
        </x:is>
      </x:c>
      <x:c r="C30">
        <x:f>D29*Assumptions!B34</x:f>
        <x:v>3.77655029296875</x:v>
      </x:c>
      <x:c r="D30" s="10">
        <x:f>D29*Assumptions!B34</x:f>
        <x:v>3.77655029296875</x:v>
      </x:c>
      <x:c r="E30" s="6" t="inlineStr">
        <x:is>
          <x:t xml:space="preserve">GB</x:t>
        </x:is>
      </x:c>
      <x:c r="F30" t="inlineStr">
        <x:is>
          <x:t xml:space="preserve">Data kept across retention window</x:t>
        </x:is>
      </x:c>
    </x:row>
    <x:row r="31">
      <x:c r="A31" t="inlineStr">
        <x:is>
          <x:t xml:space="preserve">Kafka</x:t>
        </x:is>
      </x:c>
      <x:c r="B31" t="inlineStr">
        <x:is>
          <x:t xml:space="preserve">With replication factor (GB)</x:t>
        </x:is>
      </x:c>
      <x:c r="C31">
        <x:f>D30*Assumptions!B35</x:f>
        <x:v>11.32965087890625</x:v>
      </x:c>
      <x:c r="D31" s="10">
        <x:f>D30*Assumptions!B35</x:f>
        <x:v>11.32965087890625</x:v>
      </x:c>
      <x:c r="E31" s="6" t="inlineStr">
        <x:is>
          <x:t xml:space="preserve">GB</x:t>
        </x:is>
      </x:c>
      <x:c r="F31" t="inlineStr">
        <x:is>
          <x:t xml:space="preserve">Broker disk after replicas</x:t>
        </x:is>
      </x:c>
    </x:row>
    <x:row r="32">
      <x:c r="A32" t="inlineStr">
        <x:is>
          <x:t xml:space="preserve">Kafka</x:t>
        </x:is>
      </x:c>
      <x:c r="B32" t="inlineStr">
        <x:is>
          <x:t xml:space="preserve">Recommended broker storage (GB)</x:t>
        </x:is>
      </x:c>
      <x:c r="C32">
        <x:f>D31*(1+Assumptions!B36)</x:f>
        <x:v>14.728546142578125</x:v>
      </x:c>
      <x:c r="D32" s="10">
        <x:f>D31*(1+Assumptions!B36)</x:f>
        <x:v>14.728546142578125</x:v>
      </x:c>
      <x:c r="E32" s="6" t="inlineStr">
        <x:is>
          <x:t xml:space="preserve">GB</x:t>
        </x:is>
      </x:c>
      <x:c r="F32" t="inlineStr">
        <x:is>
          <x:t xml:space="preserve">Provisioned broker disk</x:t>
        </x:is>
      </x:c>
    </x:row>
    <x:row r="34">
      <x:c r="A34" s="9" t="inlineStr">
        <x:is>
          <x:t xml:space="preserve">Object / file storage</x:t>
        </x:is>
      </x:c>
    </x:row>
    <x:row r="35">
      <x:c r="A35" t="inlineStr">
        <x:is>
          <x:t xml:space="preserve">Storage</x:t>
        </x:is>
      </x:c>
      <x:c r="B35" t="inlineStr">
        <x:is>
          <x:t xml:space="preserve">Product images raw (GB)</x:t>
        </x:is>
      </x:c>
      <x:c r="C35">
        <x:f>Assumptions!B11*Assumptions!B38*Assumptions!B39/1024/1024</x:f>
        <x:v>57.220458984375</x:v>
      </x:c>
      <x:c r="D35" s="10">
        <x:f>Assumptions!B11*Assumptions!B38*Assumptions!B39/1024/1024</x:f>
        <x:v>57.220458984375</x:v>
      </x:c>
      <x:c r="E35" s="6" t="inlineStr">
        <x:is>
          <x:t xml:space="preserve">GB</x:t>
        </x:is>
      </x:c>
      <x:c r="F35" t="inlineStr">
        <x:is>
          <x:t xml:space="preserve">Catalog media storage</x:t>
        </x:is>
      </x:c>
    </x:row>
    <x:row r="36">
      <x:c r="A36" t="inlineStr">
        <x:is>
          <x:t xml:space="preserve">Storage</x:t>
        </x:is>
      </x:c>
      <x:c r="B36" t="inlineStr">
        <x:is>
          <x:t xml:space="preserve">Invoices/year raw (GB)</x:t>
        </x:is>
      </x:c>
      <x:c r="C36">
        <x:f>Assumptions!B3*Assumptions!B19*Assumptions!B40*Assumptions!B41/1024/1024</x:f>
        <x:v>417.7093505859375</x:v>
      </x:c>
      <x:c r="D36" s="10">
        <x:f>Assumptions!B3*Assumptions!B19*Assumptions!B40*Assumptions!B41/1024/1024</x:f>
        <x:v>417.7093505859375</x:v>
      </x:c>
      <x:c r="E36" s="6" t="inlineStr">
        <x:is>
          <x:t xml:space="preserve">GB</x:t>
        </x:is>
      </x:c>
      <x:c r="F36" t="inlineStr">
        <x:is>
          <x:t xml:space="preserve">Generated PDF invoices</x:t>
        </x:is>
      </x:c>
    </x:row>
    <x:row r="37">
      <x:c r="A37" t="inlineStr">
        <x:is>
          <x:t xml:space="preserve">Storage</x:t>
        </x:is>
      </x:c>
      <x:c r="B37" t="inlineStr">
        <x:is>
          <x:t xml:space="preserve">Raw object/file storage (GB)</x:t>
        </x:is>
      </x:c>
      <x:c r="C37">
        <x:f>SUM(D35:D36)</x:f>
        <x:v>474.9298095703125</x:v>
      </x:c>
      <x:c r="D37" s="10">
        <x:f>SUM(D35:D36)</x:f>
        <x:v>474.9298095703125</x:v>
      </x:c>
      <x:c r="E37" s="6" t="inlineStr">
        <x:is>
          <x:t xml:space="preserve">GB</x:t>
        </x:is>
      </x:c>
      <x:c r="F37" t="inlineStr">
        <x:is>
          <x:t xml:space="preserve">Files before copies</x:t>
        </x:is>
      </x:c>
    </x:row>
    <x:row r="38">
      <x:c r="A38" t="inlineStr">
        <x:is>
          <x:t xml:space="preserve">Storage</x:t>
        </x:is>
      </x:c>
      <x:c r="B38" t="inlineStr">
        <x:is>
          <x:t xml:space="preserve">With copies (GB)</x:t>
        </x:is>
      </x:c>
      <x:c r="C38">
        <x:f>D37*Assumptions!B42</x:f>
        <x:v>949.859619140625</x:v>
      </x:c>
      <x:c r="D38" s="10">
        <x:f>D37*Assumptions!B42</x:f>
        <x:v>949.859619140625</x:v>
      </x:c>
      <x:c r="E38" s="6" t="inlineStr">
        <x:is>
          <x:t xml:space="preserve">GB</x:t>
        </x:is>
      </x:c>
      <x:c r="F38" t="inlineStr">
        <x:is>
          <x:t xml:space="preserve">Primary + replicated copy</x:t>
        </x:is>
      </x:c>
    </x:row>
    <x:row r="39">
      <x:c r="A39" t="inlineStr">
        <x:is>
          <x:t xml:space="preserve">Storage</x:t>
        </x:is>
      </x:c>
      <x:c r="B39" t="inlineStr">
        <x:is>
          <x:t xml:space="preserve">Recommended object storage (GB)</x:t>
        </x:is>
      </x:c>
      <x:c r="C39">
        <x:f>D38*(1+Assumptions!B43)</x:f>
        <x:v>1187.3245239257812</x:v>
      </x:c>
      <x:c r="D39" s="10">
        <x:f>D38*(1+Assumptions!B43)</x:f>
        <x:v>1187.3245239257812</x:v>
      </x:c>
      <x:c r="E39" s="6" t="inlineStr">
        <x:is>
          <x:t xml:space="preserve">GB</x:t>
        </x:is>
      </x:c>
      <x:c r="F39" t="inlineStr">
        <x:is>
          <x:t xml:space="preserve">Provisioned object/file storage</x:t>
        </x:is>
      </x:c>
    </x:row>
    <x:row r="41">
      <x:c r="A41" s="9" t="inlineStr">
        <x:is>
          <x:t xml:space="preserve">Application RAM</x:t>
        </x:is>
      </x:c>
    </x:row>
    <x:row r="42">
      <x:c r="A42" t="inlineStr">
        <x:is>
          <x:t xml:space="preserve">RAM</x:t>
        </x:is>
      </x:c>
      <x:c r="B42" t="inlineStr">
        <x:is>
          <x:t xml:space="preserve">Raw application RAM (GB)</x:t>
        </x:is>
      </x:c>
      <x:c r="C42">
        <x:f>Assumptions!B45*Assumptions!B46</x:f>
        <x:v>12</x:v>
      </x:c>
      <x:c r="D42" s="10">
        <x:f>Assumptions!B45*Assumptions!B46</x:f>
        <x:v>12</x:v>
      </x:c>
      <x:c r="E42" s="6" t="inlineStr">
        <x:is>
          <x:t xml:space="preserve">GB</x:t>
        </x:is>
      </x:c>
      <x:c r="F42" t="inlineStr">
        <x:is>
          <x:t xml:space="preserve">Total memory assigned to app processes</x:t>
        </x:is>
      </x:c>
    </x:row>
    <x:row r="43">
      <x:c r="A43" t="inlineStr">
        <x:is>
          <x:t xml:space="preserve">RAM</x:t>
        </x:is>
      </x:c>
      <x:c r="B43" t="inlineStr">
        <x:is>
          <x:t xml:space="preserve">With infra overhead (GB)</x:t>
        </x:is>
      </x:c>
      <x:c r="C43">
        <x:f>D42*(1+Assumptions!B47)</x:f>
        <x:v>14.399999999999999</x:v>
      </x:c>
      <x:c r="D43" s="10">
        <x:f>D42*(1+Assumptions!B47)</x:f>
        <x:v>14.399999999999999</x:v>
      </x:c>
      <x:c r="E43" s="6" t="inlineStr">
        <x:is>
          <x:t xml:space="preserve">GB</x:t>
        </x:is>
      </x:c>
      <x:c r="F43" t="inlineStr">
        <x:is>
          <x:t xml:space="preserve">OS, sidecars, telemetry</x:t>
        </x:is>
      </x:c>
    </x:row>
    <x:row r="44">
      <x:c r="A44" t="inlineStr">
        <x:is>
          <x:t xml:space="preserve">RAM</x:t>
        </x:is>
      </x:c>
      <x:c r="B44" t="inlineStr">
        <x:is>
          <x:t xml:space="preserve">Recommended application RAM capacity (GB)</x:t>
        </x:is>
      </x:c>
      <x:c r="C44">
        <x:f>D43*(1+Assumptions!B48)</x:f>
        <x:v>18</x:v>
      </x:c>
      <x:c r="D44" s="10">
        <x:f>D43*(1+Assumptions!B48)</x:f>
        <x:v>18</x:v>
      </x:c>
      <x:c r="E44" s="6" t="inlineStr">
        <x:is>
          <x:t xml:space="preserve">GB</x:t>
        </x:is>
      </x:c>
      <x:c r="F44" t="inlineStr">
        <x:is>
          <x:t xml:space="preserve">Usable cluster/app tier memory target</x:t>
        </x:is>
      </x:c>
    </x:row>
  </x:sheetData>
  <x:mergeCells>
    <x:mergeCell ref="A24:F24"/>
    <x:mergeCell ref="A2:F2"/>
    <x:mergeCell ref="A41:F41"/>
    <x:mergeCell ref="A34:F34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22" customWidth="1"/>
    <x:col min="3" max="3" width="16" customWidth="1"/>
    <x:col min="4" max="4" width="24" customWidth="1"/>
    <x:col min="5" max="5" width="40" customWidth="1"/>
  </x:cols>
  <x:sheetData>
    <x:row r="1">
      <x:c r="A1" s="11" t="inlineStr">
        <x:is>
          <x:t xml:space="preserve">Area</x:t>
        </x:is>
      </x:c>
      <x:c r="B1" s="11" t="inlineStr">
        <x:is>
          <x:t xml:space="preserve">Recommended capacity</x:t>
        </x:is>
      </x:c>
      <x:c r="C1" s="11" t="inlineStr">
        <x:is>
          <x:t xml:space="preserve">Unit</x:t>
        </x:is>
      </x:c>
      <x:c r="D1" s="11" t="inlineStr">
        <x:is>
          <x:t xml:space="preserve">Rounded recommendation</x:t>
        </x:is>
      </x:c>
      <x:c r="E1" s="11" t="inlineStr">
        <x:is>
          <x:t xml:space="preserve">Design note</x:t>
        </x:is>
      </x:c>
    </x:row>
    <x:row r="2">
      <x:c r="A2" t="inlineStr">
        <x:is>
          <x:t xml:space="preserve">Database</x:t>
        </x:is>
      </x:c>
      <x:c r="B2" s="12">
        <x:f>Sizing_Model!D13</x:f>
        <x:v>179.9907684326172</x:v>
      </x:c>
      <x:c r="C2" t="inlineStr">
        <x:is>
          <x:t xml:space="preserve">GB</x:t>
        </x:is>
      </x:c>
      <x:c r="D2" s="13">
        <x:f>CEILING(B2,50)</x:f>
        <x:v>200</x:v>
      </x:c>
      <x:c r="E2" t="inlineStr">
        <x:is>
          <x:t xml:space="preserve">Provision SSD-backed DB storage; this includes indexes, replica, backup reserve, and growth headroom.</x:t>
        </x:is>
      </x:c>
    </x:row>
    <x:row r="3">
      <x:c r="A3" t="inlineStr">
        <x:is>
          <x:t xml:space="preserve">Redis</x:t>
        </x:is>
      </x:c>
      <x:c r="B3" s="12">
        <x:f>Sizing_Model!D22</x:f>
        <x:v>0.49591064453125</x:v>
      </x:c>
      <x:c r="C3" t="inlineStr">
        <x:is>
          <x:t xml:space="preserve">GB RAM</x:t>
        </x:is>
      </x:c>
      <x:c r="D3" s="13">
        <x:f>CEILING(B3,4)</x:f>
        <x:v>4</x:v>
      </x:c>
      <x:c r="E3" t="inlineStr">
        <x:is>
          <x:t xml:space="preserve">In-memory cache is small here, but keep margin because eviction risk hurts checkout/session experience.</x:t>
        </x:is>
      </x:c>
    </x:row>
    <x:row r="4">
      <x:c r="A4" t="inlineStr">
        <x:is>
          <x:t xml:space="preserve">Kafka</x:t>
        </x:is>
      </x:c>
      <x:c r="B4" s="12">
        <x:f>Sizing_Model!D32</x:f>
        <x:v>14.728546142578125</x:v>
      </x:c>
      <x:c r="C4" t="inlineStr">
        <x:is>
          <x:t xml:space="preserve">GB broker disk</x:t>
        </x:is>
      </x:c>
      <x:c r="D4" s="13">
        <x:f>CEILING(B4,50)</x:f>
        <x:v>50</x:v>
      </x:c>
      <x:c r="E4" t="inlineStr">
        <x:is>
          <x:t xml:space="preserve">Short retention keeps Kafka storage modest; increase fast if you keep more events or larger payloads.</x:t>
        </x:is>
      </x:c>
    </x:row>
    <x:row r="5">
      <x:c r="A5" t="inlineStr">
        <x:is>
          <x:t xml:space="preserve">Object/File Storage</x:t>
        </x:is>
      </x:c>
      <x:c r="B5" s="12">
        <x:f>Sizing_Model!D39</x:f>
        <x:v>1187.3245239257812</x:v>
      </x:c>
      <x:c r="C5" t="inlineStr">
        <x:is>
          <x:t xml:space="preserve">GB</x:t>
        </x:is>
      </x:c>
      <x:c r="D5" s="13">
        <x:f>CEILING(B5,100)</x:f>
        <x:v>1200</x:v>
      </x:c>
      <x:c r="E5" t="inlineStr">
        <x:is>
          <x:t xml:space="preserve">Images dominate storage for a basic catalog; invoices are smaller but grow linearly with orders.</x:t>
        </x:is>
      </x:c>
    </x:row>
    <x:row r="6">
      <x:c r="A6" t="inlineStr">
        <x:is>
          <x:t xml:space="preserve">Application RAM</x:t>
        </x:is>
      </x:c>
      <x:c r="B6" s="12">
        <x:f>Sizing_Model!D44</x:f>
        <x:v>18</x:v>
      </x:c>
      <x:c r="C6" t="inlineStr">
        <x:is>
          <x:t xml:space="preserve">GB RAM</x:t>
        </x:is>
      </x:c>
      <x:c r="D6" s="13">
        <x:f>CEILING(B6,4)</x:f>
        <x:v>20</x:v>
      </x:c>
      <x:c r="E6" t="inlineStr">
        <x:is>
          <x:t xml:space="preserve">This is for app tier only, not database/Redis/Kafka memory.</x:t>
        </x:is>
      </x:c>
    </x:row>
    <x:row r="8">
      <x:c r="A8" s="14" t="inlineStr">
        <x:is>
          <x:t xml:space="preserve">Assumptions note</x:t>
        </x:is>
      </x:c>
      <x:c r="B8" t="inlineStr">
        <x:is>
          <x:t xml:space="preserve">Model uses a worked example: 10k orders/day, 100k DAU, 50k products, 1-year DB retention, 3-day Kafka retention.</x:t>
        </x:is>
      </x:c>
    </x:row>
  </x:sheetData>
  <x:pageMargins left="0.7" right="0.7" top="0.75" bottom="0.75" header="0.3" footer="0.3"/>
  <x:drawing xmlns:r="http://schemas.openxmlformats.org/officeDocument/2006/relationships" r:id="Rb75a58e677fa4105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40" customWidth="1"/>
  </x:cols>
  <x:sheetData>
    <x:row r="1">
      <x:c r="A1" s="15" t="inlineStr">
        <x:is>
          <x:t xml:space="preserve">How to read the numbers</x:t>
        </x:is>
      </x:c>
    </x:row>
    <x:row r="3">
      <x:c r="A3" s="14" t="inlineStr">
        <x:is>
          <x:t xml:space="preserve">Database</x:t>
        </x:is>
      </x:c>
      <x:c r="B3" s="16" t="inlineStr">
        <x:is>
          <x:t xml:space="preserve">The DB number starts with base table data (users, products, orders, order_items), then adds 40% index overhead, doubles for one replica, doubles again to reserve backup space, and finally adds 30% free headroom. This is why OLTP storage is usually much larger than just raw row bytes.</x:t>
        </x:is>
      </x:c>
    </x:row>
    <x:row r="5">
      <x:c r="A5" s="14" t="inlineStr">
        <x:is>
          <x:t xml:space="preserve">Redis</x:t>
        </x:is>
      </x:c>
      <x:c r="B5" s="16" t="inlineStr">
        <x:is>
          <x:t xml:space="preserve">Redis sizing uses only hot data kept in memory: sessions, product cache, and carts. After logical payload, 30% is added for allocator fragmentation and object metadata. Then it is doubled for a replica and given 25% extra headroom.</x:t>
        </x:is>
      </x:c>
    </x:row>
    <x:row r="7">
      <x:c r="A7" s="14" t="inlineStr">
        <x:is>
          <x:t xml:space="preserve">Kafka</x:t>
        </x:is>
      </x:c>
      <x:c r="B7" s="16" t="inlineStr">
        <x:is>
          <x:t xml:space="preserve">Kafka storage is driven by events/day × average message size × retention days × replication factor. In this baseline, browse events plus order workflow events are retained for 3 days with RF=3, then 30% headroom is added.</x:t>
        </x:is>
      </x:c>
    </x:row>
    <x:row r="9">
      <x:c r="A9" s="14" t="inlineStr">
        <x:is>
          <x:t xml:space="preserve">Object/File Storage</x:t>
        </x:is>
      </x:c>
      <x:c r="B9" s="16" t="inlineStr">
        <x:is>
          <x:t xml:space="preserve">This covers product images and invoice PDFs. Images usually dominate in e-commerce unless you host video or very large originals. The sheet multiplies by copy count and then adds 25% reserve.</x:t>
        </x:is>
      </x:c>
    </x:row>
    <x:row r="11">
      <x:c r="A11" s="14" t="inlineStr">
        <x:is>
          <x:t xml:space="preserve">Application RAM</x:t>
        </x:is>
      </x:c>
      <x:c r="B11" s="16" t="inlineStr">
        <x:is>
          <x:t xml:space="preserve">This is the RAM for stateless application instances only. It starts from instance count × RAM each, then adds 20% infra overhead and 25% cluster headroom for spikes, restarts, and rolling deployments.</x:t>
        </x:is>
      </x:c>
    </x:row>
    <x:row r="13">
      <x:c r="A13" s="14" t="inlineStr">
        <x:is>
          <x:t xml:space="preserve">Important</x:t>
        </x:is>
      </x:c>
      <x:c r="B13" s="16" t="inlineStr">
        <x:is>
          <x:t xml:space="preserve">These are starter planning numbers for a basic e-commerce application. Real sizing changes a lot with catalog size, image quality, search engine usage, traffic burstiness, DB engine, schema design, retention rules, and HA/DR requirements.</x:t>
        </x:is>
      </x:c>
    </x:row>
  </x:sheetData>
  <x:pageMargins left="0.7" right="0.7" top="0.75" bottom="0.75" header="0.3" footer="0.3"/>
</x:worksheet>
</file>